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N\Desktop\RFM_Funnel\Customer-Segmentation-RFM-Funnel-Analysis\excel\"/>
    </mc:Choice>
  </mc:AlternateContent>
  <xr:revisionPtr revIDLastSave="0" documentId="8_{0A4D0429-3235-4C3D-AC17-ADF5CB0235B4}" xr6:coauthVersionLast="47" xr6:coauthVersionMax="47" xr10:uidLastSave="{00000000-0000-0000-0000-000000000000}"/>
  <bookViews>
    <workbookView xWindow="-108" yWindow="-108" windowWidth="23256" windowHeight="12456" xr2:uid="{62FE29C9-665A-462C-BE4C-0ECAA0ED68E6}"/>
  </bookViews>
  <sheets>
    <sheet name="SQL summary" sheetId="1" r:id="rId1"/>
    <sheet name="Cross Check" sheetId="2" r:id="rId2"/>
    <sheet name="Value per Segmen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1" i="3" l="1"/>
  <c r="I11" i="3"/>
  <c r="H11" i="3"/>
  <c r="G11" i="3"/>
  <c r="K11" i="3" s="1"/>
  <c r="F11" i="3"/>
  <c r="J10" i="3"/>
  <c r="I10" i="3"/>
  <c r="H10" i="3"/>
  <c r="G10" i="3"/>
  <c r="K10" i="3" s="1"/>
  <c r="F10" i="3"/>
  <c r="K9" i="3"/>
  <c r="J9" i="3"/>
  <c r="I9" i="3"/>
  <c r="H9" i="3"/>
  <c r="G9" i="3"/>
  <c r="F9" i="3"/>
  <c r="J8" i="3"/>
  <c r="I8" i="3"/>
  <c r="H8" i="3"/>
  <c r="G8" i="3"/>
  <c r="K8" i="3" s="1"/>
  <c r="F8" i="3"/>
  <c r="J7" i="3"/>
  <c r="I7" i="3"/>
  <c r="H7" i="3"/>
  <c r="G7" i="3"/>
  <c r="K7" i="3" s="1"/>
  <c r="F7" i="3"/>
  <c r="J6" i="3"/>
  <c r="I6" i="3"/>
  <c r="H6" i="3"/>
  <c r="G6" i="3"/>
  <c r="K6" i="3" s="1"/>
  <c r="F6" i="3"/>
  <c r="J5" i="3"/>
  <c r="I5" i="3"/>
  <c r="H5" i="3"/>
  <c r="G5" i="3"/>
  <c r="K5" i="3" s="1"/>
  <c r="F5" i="3"/>
  <c r="J4" i="3"/>
  <c r="I4" i="3"/>
  <c r="H4" i="3"/>
  <c r="G4" i="3"/>
  <c r="K4" i="3" s="1"/>
  <c r="F4" i="3"/>
  <c r="J3" i="3"/>
  <c r="I3" i="3"/>
  <c r="H3" i="3"/>
  <c r="G3" i="3"/>
  <c r="K3" i="3" s="1"/>
  <c r="F3" i="3"/>
  <c r="J2" i="3"/>
  <c r="I2" i="3"/>
  <c r="H2" i="3"/>
  <c r="G2" i="3"/>
  <c r="K2" i="3" s="1"/>
  <c r="F2" i="3"/>
  <c r="F10" i="2"/>
  <c r="E10" i="2"/>
  <c r="G10" i="2" s="1"/>
  <c r="C10" i="2"/>
  <c r="B10" i="2"/>
  <c r="D10" i="2" s="1"/>
  <c r="F9" i="2"/>
  <c r="E9" i="2"/>
  <c r="G9" i="2" s="1"/>
  <c r="C9" i="2"/>
  <c r="B9" i="2"/>
  <c r="D9" i="2" s="1"/>
  <c r="F8" i="2"/>
  <c r="E8" i="2"/>
  <c r="G8" i="2" s="1"/>
  <c r="C8" i="2"/>
  <c r="B8" i="2"/>
  <c r="D8" i="2" s="1"/>
  <c r="F7" i="2"/>
  <c r="E7" i="2"/>
  <c r="G7" i="2" s="1"/>
  <c r="C7" i="2"/>
  <c r="B7" i="2"/>
  <c r="D7" i="2" s="1"/>
  <c r="F6" i="2"/>
  <c r="E6" i="2"/>
  <c r="G6" i="2" s="1"/>
  <c r="C6" i="2"/>
  <c r="B6" i="2"/>
  <c r="D6" i="2" s="1"/>
  <c r="F5" i="2"/>
  <c r="E5" i="2"/>
  <c r="G5" i="2" s="1"/>
  <c r="C5" i="2"/>
  <c r="B5" i="2"/>
  <c r="D5" i="2" s="1"/>
  <c r="F4" i="2"/>
  <c r="E4" i="2"/>
  <c r="G4" i="2" s="1"/>
  <c r="C4" i="2"/>
  <c r="B4" i="2"/>
  <c r="D4" i="2" s="1"/>
  <c r="F3" i="2"/>
  <c r="E3" i="2"/>
  <c r="G3" i="2" s="1"/>
  <c r="C3" i="2"/>
  <c r="B3" i="2"/>
  <c r="D3" i="2" s="1"/>
  <c r="F2" i="2"/>
  <c r="E2" i="2"/>
  <c r="G2" i="2" s="1"/>
  <c r="C2" i="2"/>
  <c r="B2" i="2"/>
  <c r="D2" i="2" s="1"/>
  <c r="B12" i="2" l="1" a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<sst xmlns="http://schemas.openxmlformats.org/spreadsheetml/2006/main" count="56" uniqueCount="38">
  <si>
    <t>customer_segment</t>
  </si>
  <si>
    <t>total_customers</t>
  </si>
  <si>
    <t>pct_customers</t>
  </si>
  <si>
    <t>total_revenue</t>
  </si>
  <si>
    <t>pct_revenue</t>
  </si>
  <si>
    <t>avg_monetary_spend</t>
  </si>
  <si>
    <t>avg_recency_days</t>
  </si>
  <si>
    <t>avg_frequency</t>
  </si>
  <si>
    <t>At Risk</t>
  </si>
  <si>
    <t>Cannot Lose Them</t>
  </si>
  <si>
    <t>Champions</t>
  </si>
  <si>
    <t>General Customers</t>
  </si>
  <si>
    <t>Hibernating</t>
  </si>
  <si>
    <t>Loyal Customers</t>
  </si>
  <si>
    <t>New customers</t>
  </si>
  <si>
    <t>Potential Loyalists</t>
  </si>
  <si>
    <t>Wholesale Key Accounts</t>
  </si>
  <si>
    <t>Segments</t>
  </si>
  <si>
    <t>Excel buyers</t>
  </si>
  <si>
    <t>SQL buyers</t>
  </si>
  <si>
    <t>Difference</t>
  </si>
  <si>
    <t>Excel revenue</t>
  </si>
  <si>
    <t>SQL revenue</t>
  </si>
  <si>
    <t>Revenue difference</t>
  </si>
  <si>
    <t>STATUS CHECK:</t>
  </si>
  <si>
    <t>Segment</t>
  </si>
  <si>
    <t>Buyers</t>
  </si>
  <si>
    <t>Revenue</t>
  </si>
  <si>
    <t>Purchase sessions</t>
  </si>
  <si>
    <t>Sum of recency days</t>
  </si>
  <si>
    <t>% of buyers</t>
  </si>
  <si>
    <t>% of revenue</t>
  </si>
  <si>
    <t>Avg spend per buyer</t>
  </si>
  <si>
    <t>Avg order value</t>
  </si>
  <si>
    <t>Avg recency (days)</t>
  </si>
  <si>
    <t>Value index</t>
  </si>
  <si>
    <t>Grand Total</t>
  </si>
  <si>
    <t>Never Purchased: 2,673,767 users (88.5% of 3,020,885 users), 0 revenue.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</si>
</sst>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49992370372631"/>
        <bgColor indexed="64"/>
      </patternFill>
    </fill>
  </fills>
  <borders count="7">
    <border>
      <left/>
      <right/>
      <top/>
      <bottom/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10" fontId="0" fillId="0" borderId="0" xfId="0" applyNumberFormat="1"/>
    <xf numFmtId="1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1AA4B-0A36-4315-82E2-9D7270DE59C9}">
  <dimension ref="A1:H10"/>
  <sheetViews>
    <sheetView tabSelected="1" workbookViewId="0">
      <selection activeCell="B4" sqref="B4"/>
    </sheetView>
  </sheetViews>
  <sheetFormatPr defaultRowHeight="14.4" x14ac:dyDescent="0.3"/>
  <cols>
    <col min="1" max="1" width="20.6640625" bestFit="1" customWidth="1"/>
    <col min="2" max="2" width="16.77734375" bestFit="1" customWidth="1"/>
    <col min="3" max="3" width="15.6640625" bestFit="1" customWidth="1"/>
    <col min="4" max="4" width="14.44140625" bestFit="1" customWidth="1"/>
    <col min="5" max="5" width="13.33203125" bestFit="1" customWidth="1"/>
    <col min="6" max="6" width="20.77734375" bestFit="1" customWidth="1"/>
    <col min="7" max="7" width="18.109375" bestFit="1" customWidth="1"/>
    <col min="8" max="8" width="15" bestFit="1" customWidth="1"/>
  </cols>
  <sheetData>
    <row r="1" spans="1:8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 spans="1:8" x14ac:dyDescent="0.3">
      <c r="A2" s="4" t="s">
        <v>8</v>
      </c>
      <c r="B2" s="5">
        <v>11087</v>
      </c>
      <c r="C2" s="5">
        <v>3.19</v>
      </c>
      <c r="D2" s="5">
        <v>18081601.190000001</v>
      </c>
      <c r="E2" s="5">
        <v>7.86</v>
      </c>
      <c r="F2" s="5">
        <v>1630.88</v>
      </c>
      <c r="G2" s="5">
        <v>19.3</v>
      </c>
      <c r="H2" s="6">
        <v>4</v>
      </c>
    </row>
    <row r="3" spans="1:8" x14ac:dyDescent="0.3">
      <c r="A3" s="7" t="s">
        <v>9</v>
      </c>
      <c r="B3" s="8">
        <v>1776</v>
      </c>
      <c r="C3" s="8">
        <v>0.51</v>
      </c>
      <c r="D3" s="8">
        <v>4751220.9000000004</v>
      </c>
      <c r="E3" s="8">
        <v>2.0699999999999998</v>
      </c>
      <c r="F3" s="8">
        <v>2675.24</v>
      </c>
      <c r="G3" s="8">
        <v>25.1</v>
      </c>
      <c r="H3" s="9">
        <v>5.4</v>
      </c>
    </row>
    <row r="4" spans="1:8" x14ac:dyDescent="0.3">
      <c r="A4" s="4" t="s">
        <v>10</v>
      </c>
      <c r="B4" s="5">
        <v>13955</v>
      </c>
      <c r="C4" s="5">
        <v>4.0199999999999996</v>
      </c>
      <c r="D4" s="5">
        <v>48074695.609999999</v>
      </c>
      <c r="E4" s="5">
        <v>20.91</v>
      </c>
      <c r="F4" s="5">
        <v>3444.98</v>
      </c>
      <c r="G4" s="5">
        <v>3.5</v>
      </c>
      <c r="H4" s="6">
        <v>7.9</v>
      </c>
    </row>
    <row r="5" spans="1:8" x14ac:dyDescent="0.3">
      <c r="A5" s="7" t="s">
        <v>11</v>
      </c>
      <c r="B5" s="8">
        <v>74039</v>
      </c>
      <c r="C5" s="8">
        <v>21.33</v>
      </c>
      <c r="D5" s="8">
        <v>27697930.149999999</v>
      </c>
      <c r="E5" s="8">
        <v>12.05</v>
      </c>
      <c r="F5" s="8">
        <v>374.1</v>
      </c>
      <c r="G5" s="8">
        <v>11.1</v>
      </c>
      <c r="H5" s="9">
        <v>1.3</v>
      </c>
    </row>
    <row r="6" spans="1:8" x14ac:dyDescent="0.3">
      <c r="A6" s="4" t="s">
        <v>12</v>
      </c>
      <c r="B6" s="5">
        <v>156045</v>
      </c>
      <c r="C6" s="5">
        <v>44.95</v>
      </c>
      <c r="D6" s="5">
        <v>54838165.219999999</v>
      </c>
      <c r="E6" s="5">
        <v>23.85</v>
      </c>
      <c r="F6" s="5">
        <v>351.43</v>
      </c>
      <c r="G6" s="5">
        <v>22.4</v>
      </c>
      <c r="H6" s="6">
        <v>1.2</v>
      </c>
    </row>
    <row r="7" spans="1:8" x14ac:dyDescent="0.3">
      <c r="A7" s="7" t="s">
        <v>13</v>
      </c>
      <c r="B7" s="8">
        <v>20491</v>
      </c>
      <c r="C7" s="8">
        <v>5.9</v>
      </c>
      <c r="D7" s="8">
        <v>34521351.93</v>
      </c>
      <c r="E7" s="8">
        <v>15.01</v>
      </c>
      <c r="F7" s="8">
        <v>1684.71</v>
      </c>
      <c r="G7" s="8">
        <v>8.1</v>
      </c>
      <c r="H7" s="9">
        <v>4.2</v>
      </c>
    </row>
    <row r="8" spans="1:8" x14ac:dyDescent="0.3">
      <c r="A8" s="4" t="s">
        <v>14</v>
      </c>
      <c r="B8" s="5">
        <v>50793</v>
      </c>
      <c r="C8" s="5">
        <v>14.63</v>
      </c>
      <c r="D8" s="5">
        <v>15585007.560000001</v>
      </c>
      <c r="E8" s="5">
        <v>6.78</v>
      </c>
      <c r="F8" s="5">
        <v>306.83</v>
      </c>
      <c r="G8" s="5">
        <v>4.0999999999999996</v>
      </c>
      <c r="H8" s="6">
        <v>1</v>
      </c>
    </row>
    <row r="9" spans="1:8" x14ac:dyDescent="0.3">
      <c r="A9" s="7" t="s">
        <v>15</v>
      </c>
      <c r="B9" s="8">
        <v>18584</v>
      </c>
      <c r="C9" s="8">
        <v>5.35</v>
      </c>
      <c r="D9" s="8">
        <v>11794972.1</v>
      </c>
      <c r="E9" s="8">
        <v>5.13</v>
      </c>
      <c r="F9" s="8">
        <v>634.67999999999995</v>
      </c>
      <c r="G9" s="8">
        <v>4</v>
      </c>
      <c r="H9" s="9">
        <v>2</v>
      </c>
    </row>
    <row r="10" spans="1:8" x14ac:dyDescent="0.3">
      <c r="A10" s="10" t="s">
        <v>16</v>
      </c>
      <c r="B10" s="11">
        <v>348</v>
      </c>
      <c r="C10" s="11">
        <v>0.1</v>
      </c>
      <c r="D10" s="11">
        <v>14588267.970000001</v>
      </c>
      <c r="E10" s="11">
        <v>6.34</v>
      </c>
      <c r="F10" s="11">
        <v>41920.31</v>
      </c>
      <c r="G10" s="11">
        <v>4.4000000000000004</v>
      </c>
      <c r="H10" s="12">
        <v>32.799999999999997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E04AA-0146-431F-8785-9A5B3CB4AFBE}">
  <dimension ref="A1:G12"/>
  <sheetViews>
    <sheetView workbookViewId="0">
      <selection activeCell="B12" sqref="B12"/>
    </sheetView>
  </sheetViews>
  <sheetFormatPr defaultRowHeight="14.4" x14ac:dyDescent="0.3"/>
  <cols>
    <col min="1" max="1" width="23.21875" customWidth="1"/>
    <col min="2" max="2" width="16.44140625" customWidth="1"/>
    <col min="3" max="3" width="17.21875" customWidth="1"/>
    <col min="4" max="4" width="16.88671875" customWidth="1"/>
    <col min="5" max="5" width="17.33203125" customWidth="1"/>
    <col min="6" max="6" width="17.6640625" customWidth="1"/>
    <col min="7" max="7" width="17.33203125" customWidth="1"/>
  </cols>
  <sheetData>
    <row r="1" spans="1:7" x14ac:dyDescent="0.3">
      <c r="A1" s="17" t="s">
        <v>17</v>
      </c>
      <c r="B1" s="17" t="s">
        <v>18</v>
      </c>
      <c r="C1" s="17" t="s">
        <v>19</v>
      </c>
      <c r="D1" s="17" t="s">
        <v>20</v>
      </c>
      <c r="E1" s="17" t="s">
        <v>21</v>
      </c>
      <c r="F1" s="17" t="s">
        <v>22</v>
      </c>
      <c r="G1" s="17" t="s">
        <v>23</v>
      </c>
    </row>
    <row r="2" spans="1:7" x14ac:dyDescent="0.3">
      <c r="A2" t="s">
        <v>16</v>
      </c>
      <c r="B2">
        <f>'Value per Segment'!B2</f>
        <v>348</v>
      </c>
      <c r="C2">
        <f>_xlfn.XLOOKUP('Cross Check'!A2,'SQL summary'!$A$2:$A$10,'SQL summary'!$B$2:$B$10)</f>
        <v>348</v>
      </c>
      <c r="D2">
        <f>B2-C2</f>
        <v>0</v>
      </c>
      <c r="E2">
        <f>'Value per Segment'!C2</f>
        <v>14588267.969999993</v>
      </c>
      <c r="F2">
        <f>_xlfn.XLOOKUP(A2,'SQL summary'!$A$2:$A$10,'SQL summary'!$D$2:$D$10)</f>
        <v>14588267.970000001</v>
      </c>
      <c r="G2">
        <f>ROUND(E2-F2,2)</f>
        <v>0</v>
      </c>
    </row>
    <row r="3" spans="1:7" x14ac:dyDescent="0.3">
      <c r="A3" t="s">
        <v>10</v>
      </c>
      <c r="B3">
        <f>'Value per Segment'!B3</f>
        <v>13955</v>
      </c>
      <c r="C3">
        <f>_xlfn.XLOOKUP('Cross Check'!A3,'SQL summary'!$A$2:$A$10,'SQL summary'!$B$2:$B$10)</f>
        <v>13955</v>
      </c>
      <c r="D3">
        <f t="shared" ref="D3:D10" si="0">B3-C3</f>
        <v>0</v>
      </c>
      <c r="E3">
        <f>'Value per Segment'!C3</f>
        <v>48074695.609999947</v>
      </c>
      <c r="F3">
        <f>_xlfn.XLOOKUP(A3,'SQL summary'!$A$2:$A$10,'SQL summary'!$D$2:$D$10)</f>
        <v>48074695.609999999</v>
      </c>
      <c r="G3">
        <f t="shared" ref="G3:G10" si="1">ROUND(E3-F3,2)</f>
        <v>0</v>
      </c>
    </row>
    <row r="4" spans="1:7" x14ac:dyDescent="0.3">
      <c r="A4" t="s">
        <v>9</v>
      </c>
      <c r="B4">
        <f>'Value per Segment'!B4</f>
        <v>1776</v>
      </c>
      <c r="C4">
        <f>_xlfn.XLOOKUP('Cross Check'!A4,'SQL summary'!$A$2:$A$10,'SQL summary'!$B$2:$B$10)</f>
        <v>1776</v>
      </c>
      <c r="D4">
        <f t="shared" si="0"/>
        <v>0</v>
      </c>
      <c r="E4">
        <f>'Value per Segment'!C4</f>
        <v>4751220.8999999976</v>
      </c>
      <c r="F4">
        <f>_xlfn.XLOOKUP(A4,'SQL summary'!$A$2:$A$10,'SQL summary'!$D$2:$D$10)</f>
        <v>4751220.9000000004</v>
      </c>
      <c r="G4">
        <f t="shared" si="1"/>
        <v>0</v>
      </c>
    </row>
    <row r="5" spans="1:7" x14ac:dyDescent="0.3">
      <c r="A5" t="s">
        <v>13</v>
      </c>
      <c r="B5">
        <f>'Value per Segment'!B5</f>
        <v>20491</v>
      </c>
      <c r="C5">
        <f>_xlfn.XLOOKUP('Cross Check'!A5,'SQL summary'!$A$2:$A$10,'SQL summary'!$B$2:$B$10)</f>
        <v>20491</v>
      </c>
      <c r="D5">
        <f t="shared" si="0"/>
        <v>0</v>
      </c>
      <c r="E5">
        <f>'Value per Segment'!C5</f>
        <v>34521351.930000007</v>
      </c>
      <c r="F5">
        <f>_xlfn.XLOOKUP(A5,'SQL summary'!$A$2:$A$10,'SQL summary'!$D$2:$D$10)</f>
        <v>34521351.93</v>
      </c>
      <c r="G5">
        <f t="shared" si="1"/>
        <v>0</v>
      </c>
    </row>
    <row r="6" spans="1:7" x14ac:dyDescent="0.3">
      <c r="A6" t="s">
        <v>8</v>
      </c>
      <c r="B6">
        <f>'Value per Segment'!B6</f>
        <v>11087</v>
      </c>
      <c r="C6">
        <f>_xlfn.XLOOKUP('Cross Check'!A6,'SQL summary'!$A$2:$A$10,'SQL summary'!$B$2:$B$10)</f>
        <v>11087</v>
      </c>
      <c r="D6">
        <f t="shared" si="0"/>
        <v>0</v>
      </c>
      <c r="E6">
        <f>'Value per Segment'!C6</f>
        <v>18081601.190000016</v>
      </c>
      <c r="F6">
        <f>_xlfn.XLOOKUP(A6,'SQL summary'!$A$2:$A$10,'SQL summary'!$D$2:$D$10)</f>
        <v>18081601.190000001</v>
      </c>
      <c r="G6">
        <f t="shared" si="1"/>
        <v>0</v>
      </c>
    </row>
    <row r="7" spans="1:7" x14ac:dyDescent="0.3">
      <c r="A7" t="s">
        <v>15</v>
      </c>
      <c r="B7">
        <f>'Value per Segment'!B7</f>
        <v>18584</v>
      </c>
      <c r="C7">
        <f>_xlfn.XLOOKUP('Cross Check'!A7,'SQL summary'!$A$2:$A$10,'SQL summary'!$B$2:$B$10)</f>
        <v>18584</v>
      </c>
      <c r="D7">
        <f t="shared" si="0"/>
        <v>0</v>
      </c>
      <c r="E7">
        <f>'Value per Segment'!C7</f>
        <v>11794972.100000016</v>
      </c>
      <c r="F7">
        <f>_xlfn.XLOOKUP(A7,'SQL summary'!$A$2:$A$10,'SQL summary'!$D$2:$D$10)</f>
        <v>11794972.1</v>
      </c>
      <c r="G7">
        <f t="shared" si="1"/>
        <v>0</v>
      </c>
    </row>
    <row r="8" spans="1:7" x14ac:dyDescent="0.3">
      <c r="A8" t="s">
        <v>11</v>
      </c>
      <c r="B8">
        <f>'Value per Segment'!B8</f>
        <v>74039</v>
      </c>
      <c r="C8">
        <f>_xlfn.XLOOKUP('Cross Check'!A8,'SQL summary'!$A$2:$A$10,'SQL summary'!$B$2:$B$10)</f>
        <v>74039</v>
      </c>
      <c r="D8">
        <f t="shared" si="0"/>
        <v>0</v>
      </c>
      <c r="E8">
        <f>'Value per Segment'!C8</f>
        <v>27697930.150000263</v>
      </c>
      <c r="F8">
        <f>_xlfn.XLOOKUP(A8,'SQL summary'!$A$2:$A$10,'SQL summary'!$D$2:$D$10)</f>
        <v>27697930.149999999</v>
      </c>
      <c r="G8">
        <f t="shared" si="1"/>
        <v>0</v>
      </c>
    </row>
    <row r="9" spans="1:7" x14ac:dyDescent="0.3">
      <c r="A9" t="s">
        <v>12</v>
      </c>
      <c r="B9">
        <f>'Value per Segment'!B9</f>
        <v>156045</v>
      </c>
      <c r="C9">
        <f>_xlfn.XLOOKUP('Cross Check'!A9,'SQL summary'!$A$2:$A$10,'SQL summary'!$B$2:$B$10)</f>
        <v>156045</v>
      </c>
      <c r="D9">
        <f t="shared" si="0"/>
        <v>0</v>
      </c>
      <c r="E9">
        <f>'Value per Segment'!C9</f>
        <v>54838165.220000766</v>
      </c>
      <c r="F9">
        <f>_xlfn.XLOOKUP(A9,'SQL summary'!$A$2:$A$10,'SQL summary'!$D$2:$D$10)</f>
        <v>54838165.219999999</v>
      </c>
      <c r="G9">
        <f t="shared" si="1"/>
        <v>0</v>
      </c>
    </row>
    <row r="10" spans="1:7" x14ac:dyDescent="0.3">
      <c r="A10" t="s">
        <v>14</v>
      </c>
      <c r="B10">
        <f>'Value per Segment'!B10</f>
        <v>50793</v>
      </c>
      <c r="C10">
        <f>_xlfn.XLOOKUP('Cross Check'!A10,'SQL summary'!$A$2:$A$10,'SQL summary'!$B$2:$B$10)</f>
        <v>50793</v>
      </c>
      <c r="D10">
        <f t="shared" si="0"/>
        <v>0</v>
      </c>
      <c r="E10">
        <f>'Value per Segment'!C10</f>
        <v>15585007.560000069</v>
      </c>
      <c r="F10">
        <f>_xlfn.XLOOKUP(A10,'SQL summary'!$A$2:$A$10,'SQL summary'!$D$2:$D$10)</f>
        <v>15585007.560000001</v>
      </c>
      <c r="G10">
        <f t="shared" si="1"/>
        <v>0</v>
      </c>
    </row>
    <row r="12" spans="1:7" x14ac:dyDescent="0.3">
      <c r="A12" t="s">
        <v>24</v>
      </c>
      <c r="B12" s="18" t="str" cm="1">
        <f t="array" ref="B12">IF(AND(SUMPRODUCT(ABS(D2:D10))=0,SUMPRODUCT(ABS(G2:G10))&lt;0.05),"All match","Check difference")</f>
        <v>All match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A9552-8DAA-406A-B021-2C9EBD65ACEB}">
  <dimension ref="A1:K13"/>
  <sheetViews>
    <sheetView zoomScale="79" workbookViewId="0">
      <selection activeCell="A13" sqref="A13:D13"/>
    </sheetView>
  </sheetViews>
  <sheetFormatPr defaultRowHeight="14.4" x14ac:dyDescent="0.3"/>
  <cols>
    <col min="1" max="1" width="22.6640625" customWidth="1"/>
    <col min="2" max="2" width="15.88671875" customWidth="1"/>
    <col min="3" max="3" width="18.88671875" customWidth="1"/>
    <col min="4" max="4" width="17.109375" customWidth="1"/>
    <col min="5" max="5" width="18.5546875" customWidth="1"/>
    <col min="6" max="6" width="17" customWidth="1"/>
    <col min="7" max="7" width="16.33203125" customWidth="1"/>
    <col min="8" max="8" width="17.44140625" customWidth="1"/>
    <col min="9" max="9" width="16" customWidth="1"/>
    <col min="10" max="10" width="16.33203125" customWidth="1"/>
    <col min="11" max="11" width="15.6640625" customWidth="1"/>
  </cols>
  <sheetData>
    <row r="1" spans="1:11" x14ac:dyDescent="0.3">
      <c r="A1" s="17" t="s">
        <v>25</v>
      </c>
      <c r="B1" s="17" t="s">
        <v>26</v>
      </c>
      <c r="C1" s="17" t="s">
        <v>27</v>
      </c>
      <c r="D1" s="17" t="s">
        <v>28</v>
      </c>
      <c r="E1" s="17" t="s">
        <v>29</v>
      </c>
      <c r="F1" s="17" t="s">
        <v>30</v>
      </c>
      <c r="G1" s="17" t="s">
        <v>31</v>
      </c>
      <c r="H1" s="17" t="s">
        <v>32</v>
      </c>
      <c r="I1" s="17" t="s">
        <v>33</v>
      </c>
      <c r="J1" s="17" t="s">
        <v>34</v>
      </c>
      <c r="K1" s="17" t="s">
        <v>35</v>
      </c>
    </row>
    <row r="2" spans="1:11" x14ac:dyDescent="0.3">
      <c r="A2" t="s">
        <v>16</v>
      </c>
      <c r="B2">
        <v>348</v>
      </c>
      <c r="C2">
        <v>14588267.969999993</v>
      </c>
      <c r="D2">
        <v>11407</v>
      </c>
      <c r="E2">
        <v>1538</v>
      </c>
      <c r="F2" s="13">
        <f>B2/B$11</f>
        <v>1.0025409226833526E-3</v>
      </c>
      <c r="G2" s="13">
        <f>C2/C$11</f>
        <v>6.3445675390423048E-2</v>
      </c>
      <c r="H2" s="14">
        <f>C2/B2</f>
        <v>41920.310258620673</v>
      </c>
      <c r="I2" s="14">
        <f>C2/D2</f>
        <v>1278.8873472429204</v>
      </c>
      <c r="J2" s="15">
        <f>E2/B2</f>
        <v>4.4195402298850572</v>
      </c>
      <c r="K2" s="16">
        <f>G2/F2</f>
        <v>63.28487342003698</v>
      </c>
    </row>
    <row r="3" spans="1:11" x14ac:dyDescent="0.3">
      <c r="A3" t="s">
        <v>10</v>
      </c>
      <c r="B3">
        <v>13955</v>
      </c>
      <c r="C3">
        <v>48074695.609999947</v>
      </c>
      <c r="D3">
        <v>110887</v>
      </c>
      <c r="E3">
        <v>48168</v>
      </c>
      <c r="F3" s="13">
        <f t="shared" ref="F3:G11" si="0">B3/B$11</f>
        <v>4.020246717254651E-2</v>
      </c>
      <c r="G3" s="13">
        <f t="shared" si="0"/>
        <v>0.20908112864651843</v>
      </c>
      <c r="H3" s="14">
        <f t="shared" ref="H3:H11" si="1">C3/B3</f>
        <v>3444.9799792189142</v>
      </c>
      <c r="I3" s="14">
        <f t="shared" ref="I3:I11" si="2">C3/D3</f>
        <v>433.54672423277702</v>
      </c>
      <c r="J3" s="15">
        <f t="shared" ref="J3:J11" si="3">E3/B3</f>
        <v>3.4516660695091366</v>
      </c>
      <c r="K3" s="16">
        <f t="shared" ref="K3:K11" si="4">G3/F3</f>
        <v>5.2007039207110131</v>
      </c>
    </row>
    <row r="4" spans="1:11" x14ac:dyDescent="0.3">
      <c r="A4" t="s">
        <v>9</v>
      </c>
      <c r="B4">
        <v>1776</v>
      </c>
      <c r="C4">
        <v>4751220.8999999976</v>
      </c>
      <c r="D4">
        <v>9674</v>
      </c>
      <c r="E4">
        <v>44509</v>
      </c>
      <c r="F4" s="13">
        <f t="shared" si="0"/>
        <v>5.1164157433495235E-3</v>
      </c>
      <c r="G4" s="13">
        <f t="shared" si="0"/>
        <v>2.0663482433246914E-2</v>
      </c>
      <c r="H4" s="14">
        <f t="shared" si="1"/>
        <v>2675.2369932432421</v>
      </c>
      <c r="I4" s="14">
        <f t="shared" si="2"/>
        <v>491.13302666942292</v>
      </c>
      <c r="J4" s="15">
        <f t="shared" si="3"/>
        <v>25.061373873873872</v>
      </c>
      <c r="K4" s="16">
        <f t="shared" si="4"/>
        <v>4.038663679765655</v>
      </c>
    </row>
    <row r="5" spans="1:11" x14ac:dyDescent="0.3">
      <c r="A5" t="s">
        <v>13</v>
      </c>
      <c r="B5">
        <v>20491</v>
      </c>
      <c r="C5">
        <v>34521351.930000007</v>
      </c>
      <c r="D5">
        <v>85435</v>
      </c>
      <c r="E5">
        <v>166636</v>
      </c>
      <c r="F5" s="13">
        <f t="shared" si="0"/>
        <v>5.9031798984783272E-2</v>
      </c>
      <c r="G5" s="13">
        <f t="shared" si="0"/>
        <v>0.1501364310755347</v>
      </c>
      <c r="H5" s="14">
        <f t="shared" si="1"/>
        <v>1684.708014738178</v>
      </c>
      <c r="I5" s="14">
        <f t="shared" si="2"/>
        <v>404.06568654532691</v>
      </c>
      <c r="J5" s="15">
        <f t="shared" si="3"/>
        <v>8.1321555804987558</v>
      </c>
      <c r="K5" s="16">
        <f t="shared" si="4"/>
        <v>2.5433145128142822</v>
      </c>
    </row>
    <row r="6" spans="1:11" x14ac:dyDescent="0.3">
      <c r="A6" t="s">
        <v>8</v>
      </c>
      <c r="B6">
        <v>11087</v>
      </c>
      <c r="C6">
        <v>18081601.190000016</v>
      </c>
      <c r="D6">
        <v>44568</v>
      </c>
      <c r="E6">
        <v>214308</v>
      </c>
      <c r="F6" s="13">
        <f t="shared" si="0"/>
        <v>3.1940147154569914E-2</v>
      </c>
      <c r="G6" s="13">
        <f t="shared" si="0"/>
        <v>7.8638492382987715E-2</v>
      </c>
      <c r="H6" s="14">
        <f t="shared" si="1"/>
        <v>1630.8831234779486</v>
      </c>
      <c r="I6" s="14">
        <f t="shared" si="2"/>
        <v>405.70815809549487</v>
      </c>
      <c r="J6" s="15">
        <f t="shared" si="3"/>
        <v>19.329665373861278</v>
      </c>
      <c r="K6" s="16">
        <f t="shared" si="4"/>
        <v>2.4620579236040343</v>
      </c>
    </row>
    <row r="7" spans="1:11" x14ac:dyDescent="0.3">
      <c r="A7" t="s">
        <v>15</v>
      </c>
      <c r="B7">
        <v>18584</v>
      </c>
      <c r="C7">
        <v>11794972.100000016</v>
      </c>
      <c r="D7">
        <v>37965</v>
      </c>
      <c r="E7">
        <v>73689</v>
      </c>
      <c r="F7" s="13">
        <f t="shared" si="0"/>
        <v>5.3537989963067315E-2</v>
      </c>
      <c r="G7" s="13">
        <f t="shared" si="0"/>
        <v>5.1297383118723852E-2</v>
      </c>
      <c r="H7" s="14">
        <f t="shared" si="1"/>
        <v>634.68424989238144</v>
      </c>
      <c r="I7" s="14">
        <f t="shared" si="2"/>
        <v>310.68015540629568</v>
      </c>
      <c r="J7" s="15">
        <f t="shared" si="3"/>
        <v>3.9651851054670684</v>
      </c>
      <c r="K7" s="16">
        <f t="shared" si="4"/>
        <v>0.95814921617548354</v>
      </c>
    </row>
    <row r="8" spans="1:11" x14ac:dyDescent="0.3">
      <c r="A8" t="s">
        <v>11</v>
      </c>
      <c r="B8">
        <v>74039</v>
      </c>
      <c r="C8">
        <v>27697930.150000263</v>
      </c>
      <c r="D8">
        <v>96361</v>
      </c>
      <c r="E8">
        <v>820688</v>
      </c>
      <c r="F8" s="13">
        <f t="shared" si="0"/>
        <v>0.21329634303032399</v>
      </c>
      <c r="G8" s="13">
        <f t="shared" si="0"/>
        <v>0.12046076264141514</v>
      </c>
      <c r="H8" s="14">
        <f t="shared" si="1"/>
        <v>374.09919299288566</v>
      </c>
      <c r="I8" s="14">
        <f t="shared" si="2"/>
        <v>287.43921451624891</v>
      </c>
      <c r="J8" s="15">
        <f t="shared" si="3"/>
        <v>11.08453652804603</v>
      </c>
      <c r="K8" s="16">
        <f t="shared" si="4"/>
        <v>0.56475774938292977</v>
      </c>
    </row>
    <row r="9" spans="1:11" x14ac:dyDescent="0.3">
      <c r="A9" t="s">
        <v>12</v>
      </c>
      <c r="B9">
        <v>156045</v>
      </c>
      <c r="C9">
        <v>54838165.220000766</v>
      </c>
      <c r="D9">
        <v>182470</v>
      </c>
      <c r="E9">
        <v>3491869</v>
      </c>
      <c r="F9" s="13">
        <f t="shared" si="0"/>
        <v>0.44954453528771193</v>
      </c>
      <c r="G9" s="13">
        <f t="shared" si="0"/>
        <v>0.23849605975907759</v>
      </c>
      <c r="H9" s="14">
        <f t="shared" si="1"/>
        <v>351.42532743760302</v>
      </c>
      <c r="I9" s="14">
        <f t="shared" si="2"/>
        <v>300.53249969858479</v>
      </c>
      <c r="J9" s="15">
        <f t="shared" si="3"/>
        <v>22.377320644685827</v>
      </c>
      <c r="K9" s="16">
        <f t="shared" si="4"/>
        <v>0.53052821475504819</v>
      </c>
    </row>
    <row r="10" spans="1:11" x14ac:dyDescent="0.3">
      <c r="A10" t="s">
        <v>14</v>
      </c>
      <c r="B10">
        <v>50793</v>
      </c>
      <c r="C10">
        <v>15585007.560000069</v>
      </c>
      <c r="D10">
        <v>50793</v>
      </c>
      <c r="E10">
        <v>206367</v>
      </c>
      <c r="F10" s="13">
        <f t="shared" si="0"/>
        <v>0.14632776174096418</v>
      </c>
      <c r="G10" s="13">
        <f t="shared" si="0"/>
        <v>6.7780584552084702E-2</v>
      </c>
      <c r="H10" s="14">
        <f t="shared" si="1"/>
        <v>306.83376764514929</v>
      </c>
      <c r="I10" s="14">
        <f t="shared" si="2"/>
        <v>306.83376764514929</v>
      </c>
      <c r="J10" s="15">
        <f t="shared" si="3"/>
        <v>4.0629023684365952</v>
      </c>
      <c r="K10" s="16">
        <f t="shared" si="4"/>
        <v>0.46321069731164799</v>
      </c>
    </row>
    <row r="11" spans="1:11" x14ac:dyDescent="0.3">
      <c r="A11" t="s">
        <v>36</v>
      </c>
      <c r="B11">
        <v>347118</v>
      </c>
      <c r="C11">
        <v>229933212.6299983</v>
      </c>
      <c r="D11">
        <v>629560</v>
      </c>
      <c r="E11">
        <v>5067772</v>
      </c>
      <c r="F11" s="13">
        <f t="shared" si="0"/>
        <v>1</v>
      </c>
      <c r="G11" s="13">
        <f t="shared" si="0"/>
        <v>1</v>
      </c>
      <c r="H11" s="14">
        <f t="shared" si="1"/>
        <v>662.40648030352304</v>
      </c>
      <c r="I11" s="14">
        <f t="shared" si="2"/>
        <v>365.22843355676713</v>
      </c>
      <c r="J11" s="15">
        <f t="shared" si="3"/>
        <v>14.599565565600171</v>
      </c>
      <c r="K11" s="16">
        <f t="shared" si="4"/>
        <v>1</v>
      </c>
    </row>
    <row r="13" spans="1:11" x14ac:dyDescent="0.3">
      <c r="A13" s="18" t="s">
        <v>37</v>
      </c>
      <c r="B13" s="18"/>
      <c r="C13" s="18"/>
      <c r="D13" s="18"/>
    </row>
  </sheetData>
  <conditionalFormatting sqref="K3:K10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{53315E15-99E5-4809-8098-D9CF233A9042}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3315E15-99E5-4809-8098-D9CF233A90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K3:K10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SQL summary</vt:lpstr>
      <vt:lpstr>Cross Check</vt:lpstr>
      <vt:lpstr>Value per Segment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 S.D</dc:creator>
  <cp:lastModifiedBy>Sanjay S.D</cp:lastModifiedBy>
  <dcterms:created xsi:type="dcterms:W3CDTF">2026-10-26T13:48:57Z</dcterms:created>
  <dcterms:modified xsi:type="dcterms:W3CDTF">2026-10-26T14:00:19Z</dcterms:modified>
</cp:coreProperties>
</file>